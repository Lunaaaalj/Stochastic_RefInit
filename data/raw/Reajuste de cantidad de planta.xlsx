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03072446\Downloads\"/>
    </mc:Choice>
  </mc:AlternateContent>
  <xr:revisionPtr revIDLastSave="0" documentId="13_ncr:1_{64D5D520-5F2C-4C03-B660-852AF0D3422E}" xr6:coauthVersionLast="47" xr6:coauthVersionMax="47" xr10:uidLastSave="{00000000-0000-0000-0000-000000000000}"/>
  <bookViews>
    <workbookView xWindow="-120" yWindow="-120" windowWidth="29040" windowHeight="15840" xr2:uid="{D4104058-4D95-4090-9A4A-5A79F4067E42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14" i="1" s="1"/>
  <c r="C14" i="1"/>
  <c r="E13" i="1"/>
  <c r="E14" i="1" s="1"/>
  <c r="C13" i="1"/>
</calcChain>
</file>

<file path=xl/sharedStrings.xml><?xml version="1.0" encoding="utf-8"?>
<sst xmlns="http://schemas.openxmlformats.org/spreadsheetml/2006/main" count="26" uniqueCount="24">
  <si>
    <t xml:space="preserve">Especies </t>
  </si>
  <si>
    <t>Nombre común </t>
  </si>
  <si>
    <t>2021 (tallas iniciales)</t>
  </si>
  <si>
    <t>Agave lechuguilla</t>
  </si>
  <si>
    <t>Lechuguilla </t>
  </si>
  <si>
    <t>Agave salmiana</t>
  </si>
  <si>
    <t>Maguey verde </t>
  </si>
  <si>
    <t>Agave scabra</t>
  </si>
  <si>
    <t>Maguey azul </t>
  </si>
  <si>
    <t>Agave striata</t>
  </si>
  <si>
    <t>Opuntia cantabrigiensis</t>
  </si>
  <si>
    <t>Cuijo </t>
  </si>
  <si>
    <t>Opuntia engelmannii</t>
  </si>
  <si>
    <t>Opuntia robusta</t>
  </si>
  <si>
    <t>Tapón </t>
  </si>
  <si>
    <t>Opuntia streptacantha</t>
  </si>
  <si>
    <t>Cardón </t>
  </si>
  <si>
    <t>Prosopis laevigata</t>
  </si>
  <si>
    <t>Mezquite </t>
  </si>
  <si>
    <t>Yucca filifera</t>
  </si>
  <si>
    <t>Palma china </t>
  </si>
  <si>
    <t>Total</t>
  </si>
  <si>
    <t>Mortalidad</t>
  </si>
  <si>
    <t xml:space="preserve">Monitoreo de sobrevivencia 5% de la superficie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</si>
</sst>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i/>
      <sz val="10"/>
      <color rgb="FF739A2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2" xfId="0" applyFont="1" applyFill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left" wrapText="1" readingOrder="1"/>
    </xf>
    <xf numFmtId="2" fontId="1" fillId="0" borderId="2" xfId="0" applyNumberFormat="1" applyFont="1" applyBorder="1" applyAlignment="1">
      <alignment horizontal="left" wrapText="1" readingOrder="1"/>
    </xf>
    <xf numFmtId="1" fontId="1" fillId="0" borderId="2" xfId="0" applyNumberFormat="1" applyFont="1" applyBorder="1" applyAlignment="1">
      <alignment horizontal="left" wrapText="1" readingOrder="1"/>
    </xf>
    <xf numFmtId="0" fontId="2" fillId="0" borderId="0" xfId="0" applyFont="1" applyAlignment="1">
      <alignment horizontal="center" wrapText="1" readingOrder="1"/>
    </xf>
    <xf numFmtId="0" fontId="2" fillId="0" borderId="4" xfId="0" applyFont="1" applyBorder="1" applyAlignment="1">
      <alignment horizontal="center" wrapText="1" readingOrder="1"/>
    </xf>
    <xf numFmtId="0" fontId="2" fillId="0" borderId="5" xfId="0" applyFont="1" applyBorder="1" applyAlignment="1">
      <alignment horizontal="center" wrapText="1" readingOrder="1"/>
    </xf>
    <xf numFmtId="0" fontId="1" fillId="2" borderId="6" xfId="0" applyFont="1" applyFill="1" applyBorder="1" applyAlignment="1">
      <alignment horizontal="center" vertical="center" wrapText="1" readingOrder="1"/>
    </xf>
    <xf numFmtId="0" fontId="1" fillId="2" borderId="7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E77EE-F51C-4C17-A5D1-AED08930AD45}">
  <dimension ref="A1:E14"/>
  <sheetViews>
    <sheetView tabSelected="1" zoomScale="80" zoomScaleNormal="80" workbookViewId="0">
      <selection activeCell="L4" sqref="L4"/>
    </sheetView>
  </sheetViews>
  <sheetFormatPr baseColWidth="10" defaultRowHeight="15" x14ac:dyDescent="0.25"/>
  <cols>
    <col min="1" max="1" width="29.140625" customWidth="1"/>
    <col min="2" max="2" width="15.28515625" customWidth="1"/>
    <col min="5" max="5" width="12.5703125" customWidth="1"/>
  </cols>
  <sheetData>
    <row r="1" spans="1:5" ht="26.1" customHeight="1" x14ac:dyDescent="0.25">
      <c r="A1" s="10" t="s">
        <v>0</v>
      </c>
      <c r="B1" s="10" t="s">
        <v>1</v>
      </c>
      <c r="C1" s="8" t="s">
        <v>23</v>
      </c>
      <c r="D1" s="9"/>
      <c r="E1" s="9"/>
    </row>
    <row r="2" spans="1:5" ht="39.6" customHeight="1" x14ac:dyDescent="0.25">
      <c r="A2" s="11"/>
      <c r="B2" s="11"/>
      <c r="C2" s="1" t="s">
        <v>2</v>
      </c>
      <c r="D2" s="1">
        <v>2022</v>
      </c>
      <c r="E2" s="1">
        <v>2023</v>
      </c>
    </row>
    <row r="3" spans="1:5" ht="23.1" customHeight="1" x14ac:dyDescent="0.25">
      <c r="A3" s="2" t="s">
        <v>3</v>
      </c>
      <c r="B3" s="2" t="s">
        <v>4</v>
      </c>
      <c r="C3" s="4">
        <v>100</v>
      </c>
      <c r="D3" s="3">
        <v>94.35</v>
      </c>
      <c r="E3" s="3">
        <v>92.65</v>
      </c>
    </row>
    <row r="4" spans="1:5" ht="24.95" customHeight="1" x14ac:dyDescent="0.25">
      <c r="A4" s="2" t="s">
        <v>5</v>
      </c>
      <c r="B4" s="2" t="s">
        <v>6</v>
      </c>
      <c r="C4" s="4">
        <v>100</v>
      </c>
      <c r="D4" s="3">
        <v>95.87</v>
      </c>
      <c r="E4" s="3">
        <v>90.82</v>
      </c>
    </row>
    <row r="5" spans="1:5" ht="21.6" customHeight="1" x14ac:dyDescent="0.25">
      <c r="A5" s="2" t="s">
        <v>7</v>
      </c>
      <c r="B5" s="2" t="s">
        <v>8</v>
      </c>
      <c r="C5" s="4">
        <v>100</v>
      </c>
      <c r="D5" s="3">
        <v>82.45</v>
      </c>
      <c r="E5" s="3">
        <v>74.53</v>
      </c>
    </row>
    <row r="6" spans="1:5" ht="19.5" customHeight="1" x14ac:dyDescent="0.25">
      <c r="A6" s="2" t="s">
        <v>9</v>
      </c>
      <c r="B6" s="2" t="s">
        <v>6</v>
      </c>
      <c r="C6" s="4">
        <v>100</v>
      </c>
      <c r="D6" s="3">
        <v>95.17</v>
      </c>
      <c r="E6" s="3">
        <v>91.38</v>
      </c>
    </row>
    <row r="7" spans="1:5" ht="21" customHeight="1" x14ac:dyDescent="0.25">
      <c r="A7" s="2" t="s">
        <v>10</v>
      </c>
      <c r="B7" s="2" t="s">
        <v>11</v>
      </c>
      <c r="C7" s="4">
        <v>100</v>
      </c>
      <c r="D7" s="3">
        <v>92.72</v>
      </c>
      <c r="E7" s="3">
        <v>82.87</v>
      </c>
    </row>
    <row r="8" spans="1:5" ht="17.45" customHeight="1" x14ac:dyDescent="0.25">
      <c r="A8" s="2" t="s">
        <v>12</v>
      </c>
      <c r="B8" s="2" t="s">
        <v>11</v>
      </c>
      <c r="C8" s="4">
        <v>100</v>
      </c>
      <c r="D8" s="3">
        <v>89.86</v>
      </c>
      <c r="E8" s="3">
        <v>81.94</v>
      </c>
    </row>
    <row r="9" spans="1:5" ht="18" customHeight="1" x14ac:dyDescent="0.25">
      <c r="A9" s="2" t="s">
        <v>13</v>
      </c>
      <c r="B9" s="2" t="s">
        <v>14</v>
      </c>
      <c r="C9" s="4">
        <v>100</v>
      </c>
      <c r="D9" s="3">
        <v>95.76</v>
      </c>
      <c r="E9" s="3">
        <v>91.98</v>
      </c>
    </row>
    <row r="10" spans="1:5" ht="18.600000000000001" customHeight="1" x14ac:dyDescent="0.25">
      <c r="A10" s="2" t="s">
        <v>15</v>
      </c>
      <c r="B10" s="2" t="s">
        <v>16</v>
      </c>
      <c r="C10" s="4">
        <v>100</v>
      </c>
      <c r="D10" s="3">
        <v>88.6</v>
      </c>
      <c r="E10" s="3">
        <v>85.25</v>
      </c>
    </row>
    <row r="11" spans="1:5" ht="16.5" customHeight="1" x14ac:dyDescent="0.25">
      <c r="A11" s="2" t="s">
        <v>17</v>
      </c>
      <c r="B11" s="2" t="s">
        <v>18</v>
      </c>
      <c r="C11" s="4">
        <v>100</v>
      </c>
      <c r="D11" s="3">
        <v>82.14</v>
      </c>
      <c r="E11" s="3">
        <v>81.790000000000006</v>
      </c>
    </row>
    <row r="12" spans="1:5" ht="15" customHeight="1" x14ac:dyDescent="0.25">
      <c r="A12" s="2" t="s">
        <v>19</v>
      </c>
      <c r="B12" s="2" t="s">
        <v>20</v>
      </c>
      <c r="C12" s="4">
        <v>100</v>
      </c>
      <c r="D12" s="3">
        <v>88.43</v>
      </c>
      <c r="E12" s="3">
        <v>72.63</v>
      </c>
    </row>
    <row r="13" spans="1:5" x14ac:dyDescent="0.25">
      <c r="A13" s="6" t="s">
        <v>21</v>
      </c>
      <c r="B13" s="7"/>
      <c r="C13" s="4">
        <f>SUM(C3:C12)/10</f>
        <v>100</v>
      </c>
      <c r="D13" s="3">
        <f>SUM(D3:D12)/10</f>
        <v>90.535000000000011</v>
      </c>
      <c r="E13" s="3">
        <f t="shared" ref="E13" si="0">SUM(E3:E12)/10</f>
        <v>84.584000000000003</v>
      </c>
    </row>
    <row r="14" spans="1:5" x14ac:dyDescent="0.25">
      <c r="A14" s="5"/>
      <c r="B14" s="3" t="s">
        <v>22</v>
      </c>
      <c r="C14" s="3">
        <f>100-100</f>
        <v>0</v>
      </c>
      <c r="D14" s="3">
        <f>100-D13</f>
        <v>9.4649999999999892</v>
      </c>
      <c r="E14" s="3">
        <f>100-E13</f>
        <v>15.415999999999997</v>
      </c>
    </row>
  </sheetData>
  <mergeCells count="4">
    <mergeCell ref="A13:B13"/>
    <mergeCell ref="C1:E1"/>
    <mergeCell ref="A1:A2"/>
    <mergeCell ref="B1:B2"/>
  </mergeCells>
  <pageMargins left="0.7" right="0.7" top="0.75" bottom="0.75" header="0.3" footer="0.3"/>
  <ignoredErrors>
    <ignoredError sqref="D13:E1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46A21-8233-4E71-8881-B06094E4E51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lupita jimenez martinez</dc:creator>
  <cp:lastModifiedBy>Fernando Elizalde Ramírez</cp:lastModifiedBy>
  <dcterms:created xsi:type="dcterms:W3CDTF">2025-09-28T06:36:16Z</dcterms:created>
  <dcterms:modified xsi:type="dcterms:W3CDTF">2025-10-02T17:46:24Z</dcterms:modified>
</cp:coreProperties>
</file>